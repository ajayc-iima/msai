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DataDissemination\"/>
    </mc:Choice>
  </mc:AlternateContent>
  <xr:revisionPtr revIDLastSave="0" documentId="13_ncr:1_{C36754AB-B738-43B7-9461-E05848DAF0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 Layout TUS" sheetId="7" r:id="rId1"/>
    <sheet name="State cod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5" i="7" l="1"/>
  <c r="I46" i="7" s="1"/>
  <c r="I4" i="7"/>
  <c r="G5" i="7" s="1"/>
  <c r="G47" i="7" l="1"/>
  <c r="I47" i="7"/>
  <c r="I5" i="7"/>
  <c r="G46" i="7"/>
  <c r="G6" i="7" l="1"/>
  <c r="I6" i="7"/>
  <c r="G48" i="7"/>
  <c r="I48" i="7"/>
  <c r="I49" i="7" l="1"/>
  <c r="G49" i="7"/>
  <c r="I7" i="7"/>
  <c r="G7" i="7"/>
  <c r="I8" i="7" l="1"/>
  <c r="G8" i="7"/>
  <c r="I50" i="7"/>
  <c r="G50" i="7"/>
  <c r="G51" i="7" l="1"/>
  <c r="I51" i="7"/>
  <c r="I9" i="7"/>
  <c r="G9" i="7"/>
  <c r="G10" i="7" l="1"/>
  <c r="I10" i="7"/>
  <c r="I52" i="7"/>
  <c r="G52" i="7"/>
  <c r="I53" i="7" l="1"/>
  <c r="G53" i="7"/>
  <c r="G11" i="7"/>
  <c r="I11" i="7"/>
  <c r="I12" i="7" l="1"/>
  <c r="G12" i="7"/>
  <c r="I54" i="7"/>
  <c r="G54" i="7"/>
  <c r="G55" i="7" l="1"/>
  <c r="I55" i="7"/>
  <c r="I13" i="7"/>
  <c r="G13" i="7"/>
  <c r="G14" i="7" l="1"/>
  <c r="I14" i="7"/>
  <c r="G56" i="7"/>
  <c r="I56" i="7"/>
  <c r="I57" i="7" l="1"/>
  <c r="G57" i="7"/>
  <c r="I15" i="7"/>
  <c r="G15" i="7"/>
  <c r="I16" i="7" l="1"/>
  <c r="G16" i="7"/>
  <c r="G58" i="7"/>
  <c r="I58" i="7"/>
  <c r="I59" i="7" l="1"/>
  <c r="G59" i="7"/>
  <c r="I17" i="7"/>
  <c r="G17" i="7"/>
  <c r="G18" i="7" l="1"/>
  <c r="I18" i="7"/>
  <c r="I60" i="7"/>
  <c r="G60" i="7"/>
  <c r="I61" i="7" l="1"/>
  <c r="G61" i="7"/>
  <c r="I19" i="7"/>
  <c r="G19" i="7"/>
  <c r="G20" i="7" l="1"/>
  <c r="I20" i="7"/>
  <c r="I62" i="7"/>
  <c r="G62" i="7"/>
  <c r="G63" i="7" l="1"/>
  <c r="I63" i="7"/>
  <c r="G21" i="7"/>
  <c r="I21" i="7"/>
  <c r="I22" i="7" l="1"/>
  <c r="G22" i="7"/>
  <c r="I64" i="7"/>
  <c r="G64" i="7"/>
  <c r="I65" i="7" l="1"/>
  <c r="G65" i="7"/>
  <c r="I23" i="7"/>
  <c r="G23" i="7"/>
  <c r="I24" i="7" l="1"/>
  <c r="G24" i="7"/>
  <c r="G66" i="7"/>
  <c r="I66" i="7"/>
  <c r="G67" i="7" l="1"/>
  <c r="I67" i="7"/>
  <c r="I25" i="7"/>
  <c r="G25" i="7"/>
  <c r="G26" i="7" l="1"/>
  <c r="I26" i="7"/>
  <c r="I68" i="7"/>
  <c r="G68" i="7"/>
  <c r="I27" i="7" l="1"/>
  <c r="G27" i="7"/>
  <c r="I69" i="7"/>
  <c r="G69" i="7"/>
  <c r="I70" i="7" l="1"/>
  <c r="G70" i="7"/>
  <c r="G28" i="7"/>
  <c r="I28" i="7"/>
  <c r="G29" i="7" l="1"/>
  <c r="I29" i="7"/>
  <c r="G71" i="7"/>
  <c r="I71" i="7"/>
  <c r="G72" i="7" l="1"/>
  <c r="I72" i="7"/>
  <c r="G30" i="7"/>
  <c r="I30" i="7"/>
  <c r="I31" i="7" l="1"/>
  <c r="G31" i="7"/>
  <c r="I73" i="7"/>
  <c r="G73" i="7"/>
  <c r="G74" i="7" l="1"/>
  <c r="I74" i="7"/>
  <c r="I32" i="7"/>
  <c r="G32" i="7"/>
  <c r="I33" i="7" l="1"/>
  <c r="G33" i="7"/>
  <c r="I75" i="7"/>
  <c r="G75" i="7"/>
  <c r="I76" i="7" l="1"/>
  <c r="G76" i="7"/>
  <c r="G34" i="7"/>
  <c r="I34" i="7"/>
  <c r="I35" i="7" l="1"/>
  <c r="G35" i="7"/>
  <c r="I77" i="7"/>
  <c r="G77" i="7"/>
  <c r="I78" i="7" l="1"/>
  <c r="G78" i="7"/>
  <c r="G36" i="7"/>
  <c r="I36" i="7"/>
  <c r="I37" i="7" l="1"/>
  <c r="G37" i="7"/>
  <c r="G79" i="7"/>
  <c r="I79" i="7"/>
  <c r="I38" i="7" l="1"/>
  <c r="G38" i="7"/>
  <c r="I80" i="7"/>
  <c r="G80" i="7"/>
  <c r="I39" i="7" l="1"/>
  <c r="G39" i="7"/>
  <c r="G81" i="7"/>
  <c r="I81" i="7"/>
  <c r="I40" i="7" l="1"/>
  <c r="G40" i="7"/>
  <c r="I82" i="7"/>
  <c r="G82" i="7"/>
  <c r="I83" i="7" l="1"/>
  <c r="G83" i="7"/>
  <c r="I84" i="7" l="1"/>
  <c r="G84" i="7"/>
  <c r="I85" i="7" l="1"/>
  <c r="G85" i="7"/>
</calcChain>
</file>

<file path=xl/sharedStrings.xml><?xml version="1.0" encoding="utf-8"?>
<sst xmlns="http://schemas.openxmlformats.org/spreadsheetml/2006/main" count="277" uniqueCount="157">
  <si>
    <t>Srl</t>
  </si>
  <si>
    <t>Full Name</t>
  </si>
  <si>
    <t>Block</t>
  </si>
  <si>
    <t>Field Length</t>
  </si>
  <si>
    <t>Byte Position</t>
  </si>
  <si>
    <t>Sector</t>
  </si>
  <si>
    <t>Stratum</t>
  </si>
  <si>
    <t>Sub-Stratum</t>
  </si>
  <si>
    <t>Survey Code</t>
  </si>
  <si>
    <t>Response Code</t>
  </si>
  <si>
    <t>NSS-Region</t>
  </si>
  <si>
    <t>Age</t>
  </si>
  <si>
    <t>Remarks</t>
  </si>
  <si>
    <t>State Code</t>
  </si>
  <si>
    <t>State Name</t>
  </si>
  <si>
    <t>01</t>
  </si>
  <si>
    <t>Jammu &amp; Kashmir</t>
  </si>
  <si>
    <t>02</t>
  </si>
  <si>
    <t>Himachal Pradesh</t>
  </si>
  <si>
    <t>03</t>
  </si>
  <si>
    <t>Punjab</t>
  </si>
  <si>
    <t>04</t>
  </si>
  <si>
    <t>Chandigarh</t>
  </si>
  <si>
    <t>05</t>
  </si>
  <si>
    <t>06</t>
  </si>
  <si>
    <t>Haryana</t>
  </si>
  <si>
    <t>07</t>
  </si>
  <si>
    <t>Delhi</t>
  </si>
  <si>
    <t>08</t>
  </si>
  <si>
    <t>Rajasthan</t>
  </si>
  <si>
    <t>09</t>
  </si>
  <si>
    <t>Uttar Pradesh</t>
  </si>
  <si>
    <t>10</t>
  </si>
  <si>
    <t>Bihar</t>
  </si>
  <si>
    <t>11</t>
  </si>
  <si>
    <t>Sikkim</t>
  </si>
  <si>
    <t>12</t>
  </si>
  <si>
    <t>Arunachal Pradesh</t>
  </si>
  <si>
    <t>13</t>
  </si>
  <si>
    <t>Nagaland</t>
  </si>
  <si>
    <t>14</t>
  </si>
  <si>
    <t>Manipur</t>
  </si>
  <si>
    <t>15</t>
  </si>
  <si>
    <t>Mizoram</t>
  </si>
  <si>
    <t>16</t>
  </si>
  <si>
    <t>Tripura</t>
  </si>
  <si>
    <t>17</t>
  </si>
  <si>
    <t>Meghalaya</t>
  </si>
  <si>
    <t>18</t>
  </si>
  <si>
    <t>Assam</t>
  </si>
  <si>
    <t>19</t>
  </si>
  <si>
    <t>West Bengal</t>
  </si>
  <si>
    <t>20</t>
  </si>
  <si>
    <t>Jharkhand</t>
  </si>
  <si>
    <t>21</t>
  </si>
  <si>
    <t>Odisha</t>
  </si>
  <si>
    <t>22</t>
  </si>
  <si>
    <t>Chhattisgarh</t>
  </si>
  <si>
    <t>23</t>
  </si>
  <si>
    <t>Madhya Pradesh</t>
  </si>
  <si>
    <t>24</t>
  </si>
  <si>
    <t>Gujarat</t>
  </si>
  <si>
    <t>25</t>
  </si>
  <si>
    <t>27</t>
  </si>
  <si>
    <t>Maharashtra</t>
  </si>
  <si>
    <t>28</t>
  </si>
  <si>
    <t>Andhra Pradesh</t>
  </si>
  <si>
    <t>29</t>
  </si>
  <si>
    <t>Karnataka</t>
  </si>
  <si>
    <t>30</t>
  </si>
  <si>
    <t>Goa</t>
  </si>
  <si>
    <t>31</t>
  </si>
  <si>
    <t>Lakshadweep</t>
  </si>
  <si>
    <t>32</t>
  </si>
  <si>
    <t>Kerala</t>
  </si>
  <si>
    <t>33</t>
  </si>
  <si>
    <t>34</t>
  </si>
  <si>
    <t>35</t>
  </si>
  <si>
    <t>36</t>
  </si>
  <si>
    <t>Telangana</t>
  </si>
  <si>
    <t>NSC</t>
  </si>
  <si>
    <t>MULT</t>
  </si>
  <si>
    <t>Uttarakhand</t>
  </si>
  <si>
    <t>D &amp; N. Haveli &amp; Daman &amp; Diu</t>
  </si>
  <si>
    <t>Tamilnadu</t>
  </si>
  <si>
    <t>Puduchery</t>
  </si>
  <si>
    <t>Andaman &amp; N. Island</t>
  </si>
  <si>
    <t>37</t>
  </si>
  <si>
    <t>Ladakh</t>
  </si>
  <si>
    <t>Gender</t>
  </si>
  <si>
    <t>age</t>
  </si>
  <si>
    <t>TUS HOUSEHOLD LEVEL DATA OF 2024</t>
  </si>
  <si>
    <t>TUS PERSON LEVEL DATA OF 2024</t>
  </si>
  <si>
    <t>Schedule ID</t>
  </si>
  <si>
    <t>FSU Serial No.</t>
  </si>
  <si>
    <t>Schedule</t>
  </si>
  <si>
    <t>survey year</t>
  </si>
  <si>
    <t>District</t>
  </si>
  <si>
    <t>Sub-Round</t>
  </si>
  <si>
    <t>FOD Sub-Region</t>
  </si>
  <si>
    <t>Sample hhld. No.</t>
  </si>
  <si>
    <t>Informant Sl.No.</t>
  </si>
  <si>
    <t>Time to canvass(minutes)</t>
  </si>
  <si>
    <t>Household size</t>
  </si>
  <si>
    <t>religion</t>
  </si>
  <si>
    <t xml:space="preserve">Social group </t>
  </si>
  <si>
    <t>Land possessed as on date of survey(code)</t>
  </si>
  <si>
    <t>usual consumer expenditure in a month for household purposes out of purchase (A)</t>
  </si>
  <si>
    <t>imputed value of usual consumption in a month from home grown stock (B)</t>
  </si>
  <si>
    <t>imputed value of usual consumption in a month from wages in kind, free collection, gifts, etc (C )</t>
  </si>
  <si>
    <t>Primary source of energey for cooking</t>
  </si>
  <si>
    <t>Primary source of energey for lighting</t>
  </si>
  <si>
    <t>Type of washing of clothes</t>
  </si>
  <si>
    <t>Type of sweeping of floor</t>
  </si>
  <si>
    <t>Type of structure of the dwelling unit</t>
  </si>
  <si>
    <t>usual monthly consumer expenditure E: [A+B+C+(D+E)/12]</t>
  </si>
  <si>
    <t>expenditure on purchase of items like clothing, footwear etc. during last 365 days (D)</t>
  </si>
  <si>
    <t>expenditure on purchase of household durable during last 365 days (E)</t>
  </si>
  <si>
    <t>Dwelling unit</t>
  </si>
  <si>
    <t>Is there any member in the household aged 5 years and above who needs special care</t>
  </si>
  <si>
    <t>Is there any care giver available among the household members for caring the person(s)</t>
  </si>
  <si>
    <t>"TUS" Generated</t>
  </si>
  <si>
    <t xml:space="preserve"> "106" Generated</t>
  </si>
  <si>
    <t>"2024" Generated</t>
  </si>
  <si>
    <t>-</t>
  </si>
  <si>
    <t>Person serial no.</t>
  </si>
  <si>
    <t>Relation to head</t>
  </si>
  <si>
    <t>marital status</t>
  </si>
  <si>
    <t>highest level of education</t>
  </si>
  <si>
    <t>industry of work: 2-digit of NIC 2008</t>
  </si>
  <si>
    <t>srl. No of member</t>
  </si>
  <si>
    <t>day of week</t>
  </si>
  <si>
    <t>type of the day</t>
  </si>
  <si>
    <t>response code</t>
  </si>
  <si>
    <t>Serial number of the informant</t>
  </si>
  <si>
    <t>Gender of the informant</t>
  </si>
  <si>
    <t>Serial no.of member</t>
  </si>
  <si>
    <t>srl. No of activity</t>
  </si>
  <si>
    <t>whether performed multiple activity in the time slot</t>
  </si>
  <si>
    <t>whether simultaneous activity</t>
  </si>
  <si>
    <t>whether a major activity</t>
  </si>
  <si>
    <t>where the activity was performed</t>
  </si>
  <si>
    <t>unpaid/paid status of activity</t>
  </si>
  <si>
    <t>enterprise type</t>
  </si>
  <si>
    <t>3-digit activity code</t>
  </si>
  <si>
    <t xml:space="preserve">Item </t>
  </si>
  <si>
    <t>Col.</t>
  </si>
  <si>
    <t>All</t>
  </si>
  <si>
    <t>Item</t>
  </si>
  <si>
    <t xml:space="preserve"> Col.</t>
  </si>
  <si>
    <t xml:space="preserve"> File: TUS106PER.TXT           RECORD LENGTH: 104+1</t>
  </si>
  <si>
    <t>State Name &amp; Code used in TUS</t>
  </si>
  <si>
    <t>File: TUS106HH.TXT       RECORD LENTH:132+1</t>
  </si>
  <si>
    <t>time from (HH:MM)</t>
  </si>
  <si>
    <t>time to (HH:MM)</t>
  </si>
  <si>
    <t>usual principal activity status (code)</t>
  </si>
  <si>
    <t>Reason for substitution of original household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</si>
</sst>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b/>
      <sz val="12"/>
      <color theme="2" tint="-0.749992370372631"/>
      <name val="Times New Roman"/>
      <family val="1"/>
    </font>
    <font>
      <sz val="11"/>
      <color indexed="8"/>
      <name val="Calibri"/>
      <family val="2"/>
    </font>
    <font>
      <b/>
      <sz val="1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3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vertical="top"/>
    </xf>
    <xf numFmtId="0" fontId="1" fillId="0" borderId="1" xfId="0" applyFont="1" applyBorder="1" applyAlignment="1">
      <alignment vertical="top"/>
    </xf>
    <xf numFmtId="0" fontId="2" fillId="2" borderId="1" xfId="0" applyFont="1" applyFill="1" applyBorder="1" applyAlignment="1">
      <alignment horizontal="right"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right" vertical="top"/>
    </xf>
    <xf numFmtId="0" fontId="3" fillId="0" borderId="0" xfId="0" applyFont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vertical="top"/>
    </xf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6" fillId="4" borderId="1" xfId="0" applyFont="1" applyFill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top"/>
    </xf>
    <xf numFmtId="0" fontId="2" fillId="0" borderId="1" xfId="1" applyFont="1" applyBorder="1" applyAlignment="1">
      <alignment vertical="top"/>
    </xf>
    <xf numFmtId="0" fontId="2" fillId="0" borderId="1" xfId="1" applyFont="1" applyBorder="1" applyAlignment="1">
      <alignment horizontal="right" vertical="top"/>
    </xf>
    <xf numFmtId="0" fontId="6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right" vertical="center"/>
    </xf>
    <xf numFmtId="0" fontId="1" fillId="2" borderId="1" xfId="0" applyFont="1" applyFill="1" applyBorder="1"/>
    <xf numFmtId="0" fontId="1" fillId="2" borderId="0" xfId="0" applyFont="1" applyFill="1"/>
    <xf numFmtId="0" fontId="1" fillId="0" borderId="1" xfId="0" applyFont="1" applyBorder="1"/>
    <xf numFmtId="0" fontId="6" fillId="4" borderId="1" xfId="0" applyFont="1" applyFill="1" applyBorder="1" applyAlignment="1">
      <alignment horizontal="center" vertical="top"/>
    </xf>
    <xf numFmtId="0" fontId="2" fillId="0" borderId="1" xfId="0" applyFont="1" applyBorder="1"/>
    <xf numFmtId="0" fontId="2" fillId="0" borderId="0" xfId="0" applyFont="1"/>
    <xf numFmtId="0" fontId="6" fillId="3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6" fillId="4" borderId="1" xfId="0" applyFont="1" applyFill="1" applyBorder="1" applyAlignment="1">
      <alignment horizontal="center" vertical="top"/>
    </xf>
    <xf numFmtId="0" fontId="4" fillId="5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Normal_Sheet1" xfId="1" xr:uid="{A5799A50-C9A9-4D07-9AA1-714A1108C1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216D6-26B0-4EFE-ACA2-3A36485B53D2}">
  <sheetPr>
    <pageSetUpPr fitToPage="1"/>
  </sheetPr>
  <dimension ref="A1:BI85"/>
  <sheetViews>
    <sheetView tabSelected="1" zoomScaleNormal="100" workbookViewId="0">
      <selection activeCell="B22" sqref="B22"/>
    </sheetView>
  </sheetViews>
  <sheetFormatPr defaultColWidth="8.85546875" defaultRowHeight="16.5" customHeight="1" x14ac:dyDescent="0.25"/>
  <cols>
    <col min="1" max="1" width="4.42578125" style="2" bestFit="1" customWidth="1"/>
    <col min="2" max="2" width="87.140625" style="2" customWidth="1"/>
    <col min="3" max="3" width="10.5703125" style="2" customWidth="1"/>
    <col min="4" max="4" width="9.7109375" style="2" bestFit="1" customWidth="1"/>
    <col min="5" max="5" width="9.7109375" style="2" customWidth="1"/>
    <col min="6" max="6" width="14" style="2" customWidth="1"/>
    <col min="7" max="7" width="4.42578125" style="2" bestFit="1" customWidth="1"/>
    <col min="8" max="8" width="4.42578125" style="2" customWidth="1"/>
    <col min="9" max="9" width="4.42578125" style="2" bestFit="1" customWidth="1"/>
    <col min="10" max="10" width="25" style="2" customWidth="1"/>
    <col min="11" max="61" width="8.85546875" style="2"/>
    <col min="62" max="16384" width="8.85546875" style="23"/>
  </cols>
  <sheetData>
    <row r="1" spans="1:61" s="21" customFormat="1" ht="16.5" customHeight="1" x14ac:dyDescent="0.25">
      <c r="A1" s="27" t="s">
        <v>91</v>
      </c>
      <c r="B1" s="27"/>
      <c r="C1" s="27"/>
      <c r="D1" s="27"/>
      <c r="E1" s="27"/>
      <c r="F1" s="27"/>
      <c r="G1" s="27"/>
      <c r="H1" s="27"/>
      <c r="I1" s="27"/>
      <c r="J1" s="27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</row>
    <row r="2" spans="1:61" ht="16.5" customHeight="1" x14ac:dyDescent="0.25">
      <c r="A2" s="28" t="s">
        <v>152</v>
      </c>
      <c r="B2" s="28"/>
      <c r="C2" s="28"/>
      <c r="D2" s="28"/>
      <c r="E2" s="28"/>
      <c r="F2" s="28"/>
      <c r="G2" s="28"/>
      <c r="H2" s="28"/>
      <c r="I2" s="28"/>
      <c r="J2" s="28"/>
    </row>
    <row r="3" spans="1:61" ht="16.5" customHeight="1" x14ac:dyDescent="0.25">
      <c r="A3" s="15" t="s">
        <v>0</v>
      </c>
      <c r="B3" s="15" t="s">
        <v>1</v>
      </c>
      <c r="C3" s="24" t="s">
        <v>2</v>
      </c>
      <c r="D3" s="24" t="s">
        <v>145</v>
      </c>
      <c r="E3" s="24" t="s">
        <v>146</v>
      </c>
      <c r="F3" s="24" t="s">
        <v>3</v>
      </c>
      <c r="G3" s="32" t="s">
        <v>4</v>
      </c>
      <c r="H3" s="32"/>
      <c r="I3" s="32"/>
      <c r="J3" s="15" t="s">
        <v>12</v>
      </c>
    </row>
    <row r="4" spans="1:61" ht="16.5" customHeight="1" x14ac:dyDescent="0.25">
      <c r="A4" s="6">
        <v>1</v>
      </c>
      <c r="B4" s="6" t="s">
        <v>93</v>
      </c>
      <c r="C4" s="12"/>
      <c r="D4" s="12"/>
      <c r="E4" s="12"/>
      <c r="F4" s="23">
        <v>3</v>
      </c>
      <c r="G4" s="6">
        <v>1</v>
      </c>
      <c r="H4" s="16" t="s">
        <v>124</v>
      </c>
      <c r="I4" s="6">
        <f>F4</f>
        <v>3</v>
      </c>
      <c r="J4" s="13" t="s">
        <v>121</v>
      </c>
    </row>
    <row r="5" spans="1:61" ht="16.5" customHeight="1" x14ac:dyDescent="0.25">
      <c r="A5" s="6">
        <v>2</v>
      </c>
      <c r="B5" s="6" t="s">
        <v>94</v>
      </c>
      <c r="C5" s="7">
        <v>1</v>
      </c>
      <c r="D5" s="6">
        <v>1</v>
      </c>
      <c r="E5" s="5"/>
      <c r="F5" s="23">
        <v>5</v>
      </c>
      <c r="G5" s="6">
        <f t="shared" ref="G5:G40" si="0">I4+1</f>
        <v>4</v>
      </c>
      <c r="H5" s="16" t="s">
        <v>124</v>
      </c>
      <c r="I5" s="6">
        <f t="shared" ref="I5:I40" si="1">I4+F5</f>
        <v>8</v>
      </c>
      <c r="J5" s="13"/>
    </row>
    <row r="6" spans="1:61" ht="16.5" customHeight="1" x14ac:dyDescent="0.25">
      <c r="A6" s="6">
        <v>3</v>
      </c>
      <c r="B6" s="6" t="s">
        <v>95</v>
      </c>
      <c r="C6" s="7">
        <v>1</v>
      </c>
      <c r="D6" s="6">
        <v>2</v>
      </c>
      <c r="E6" s="5"/>
      <c r="F6" s="23">
        <v>3</v>
      </c>
      <c r="G6" s="6">
        <f t="shared" si="0"/>
        <v>9</v>
      </c>
      <c r="H6" s="16" t="s">
        <v>124</v>
      </c>
      <c r="I6" s="6">
        <f t="shared" si="1"/>
        <v>11</v>
      </c>
      <c r="J6" s="13" t="s">
        <v>122</v>
      </c>
    </row>
    <row r="7" spans="1:61" ht="16.5" customHeight="1" x14ac:dyDescent="0.25">
      <c r="A7" s="6">
        <v>4</v>
      </c>
      <c r="B7" s="6" t="s">
        <v>96</v>
      </c>
      <c r="C7" s="7">
        <v>1</v>
      </c>
      <c r="D7" s="6">
        <v>3</v>
      </c>
      <c r="E7" s="5"/>
      <c r="F7" s="23">
        <v>4</v>
      </c>
      <c r="G7" s="6">
        <f t="shared" si="0"/>
        <v>12</v>
      </c>
      <c r="H7" s="16" t="s">
        <v>124</v>
      </c>
      <c r="I7" s="6">
        <f t="shared" si="1"/>
        <v>15</v>
      </c>
      <c r="J7" s="13" t="s">
        <v>123</v>
      </c>
    </row>
    <row r="8" spans="1:61" ht="16.5" customHeight="1" x14ac:dyDescent="0.25">
      <c r="A8" s="6">
        <v>5</v>
      </c>
      <c r="B8" s="6" t="s">
        <v>5</v>
      </c>
      <c r="C8" s="7"/>
      <c r="D8" s="6"/>
      <c r="E8" s="5"/>
      <c r="F8" s="23">
        <v>1</v>
      </c>
      <c r="G8" s="6">
        <f t="shared" si="0"/>
        <v>16</v>
      </c>
      <c r="H8" s="16" t="s">
        <v>124</v>
      </c>
      <c r="I8" s="6">
        <f t="shared" si="1"/>
        <v>16</v>
      </c>
      <c r="J8" s="13"/>
    </row>
    <row r="9" spans="1:61" ht="16.5" customHeight="1" x14ac:dyDescent="0.25">
      <c r="A9" s="6">
        <v>6</v>
      </c>
      <c r="B9" s="6" t="s">
        <v>10</v>
      </c>
      <c r="C9" s="7"/>
      <c r="D9" s="6"/>
      <c r="E9" s="5"/>
      <c r="F9" s="23">
        <v>3</v>
      </c>
      <c r="G9" s="6">
        <f t="shared" si="0"/>
        <v>17</v>
      </c>
      <c r="H9" s="16" t="s">
        <v>124</v>
      </c>
      <c r="I9" s="6">
        <f t="shared" si="1"/>
        <v>19</v>
      </c>
      <c r="J9" s="13"/>
    </row>
    <row r="10" spans="1:61" ht="16.5" customHeight="1" x14ac:dyDescent="0.25">
      <c r="A10" s="6">
        <v>7</v>
      </c>
      <c r="B10" s="6" t="s">
        <v>97</v>
      </c>
      <c r="C10" s="7"/>
      <c r="D10" s="6"/>
      <c r="E10" s="5"/>
      <c r="F10" s="23">
        <v>2</v>
      </c>
      <c r="G10" s="6">
        <f t="shared" si="0"/>
        <v>20</v>
      </c>
      <c r="H10" s="16" t="s">
        <v>124</v>
      </c>
      <c r="I10" s="6">
        <f t="shared" si="1"/>
        <v>21</v>
      </c>
      <c r="J10" s="13"/>
    </row>
    <row r="11" spans="1:61" ht="16.5" customHeight="1" x14ac:dyDescent="0.25">
      <c r="A11" s="6">
        <v>8</v>
      </c>
      <c r="B11" s="6" t="s">
        <v>6</v>
      </c>
      <c r="C11" s="7"/>
      <c r="D11" s="6"/>
      <c r="E11" s="5"/>
      <c r="F11" s="23">
        <v>3</v>
      </c>
      <c r="G11" s="6">
        <f t="shared" si="0"/>
        <v>22</v>
      </c>
      <c r="H11" s="16" t="s">
        <v>124</v>
      </c>
      <c r="I11" s="6">
        <f t="shared" si="1"/>
        <v>24</v>
      </c>
      <c r="J11" s="13"/>
    </row>
    <row r="12" spans="1:61" ht="16.5" customHeight="1" x14ac:dyDescent="0.25">
      <c r="A12" s="6">
        <v>9</v>
      </c>
      <c r="B12" s="6" t="s">
        <v>7</v>
      </c>
      <c r="C12" s="7"/>
      <c r="D12" s="6"/>
      <c r="E12" s="5"/>
      <c r="F12" s="23">
        <v>3</v>
      </c>
      <c r="G12" s="6">
        <f t="shared" si="0"/>
        <v>25</v>
      </c>
      <c r="H12" s="16" t="s">
        <v>124</v>
      </c>
      <c r="I12" s="6">
        <f t="shared" si="1"/>
        <v>27</v>
      </c>
      <c r="J12" s="13"/>
    </row>
    <row r="13" spans="1:61" ht="16.5" customHeight="1" x14ac:dyDescent="0.25">
      <c r="A13" s="6">
        <v>10</v>
      </c>
      <c r="B13" s="6" t="s">
        <v>98</v>
      </c>
      <c r="C13" s="7"/>
      <c r="D13" s="6"/>
      <c r="E13" s="5"/>
      <c r="F13" s="23">
        <v>1</v>
      </c>
      <c r="G13" s="6">
        <f t="shared" si="0"/>
        <v>28</v>
      </c>
      <c r="H13" s="16" t="s">
        <v>124</v>
      </c>
      <c r="I13" s="6">
        <f t="shared" si="1"/>
        <v>28</v>
      </c>
      <c r="J13" s="13"/>
    </row>
    <row r="14" spans="1:61" ht="16.5" customHeight="1" x14ac:dyDescent="0.25">
      <c r="A14" s="6">
        <v>11</v>
      </c>
      <c r="B14" s="6" t="s">
        <v>99</v>
      </c>
      <c r="C14" s="7"/>
      <c r="D14" s="6"/>
      <c r="E14" s="5"/>
      <c r="F14" s="23">
        <v>4</v>
      </c>
      <c r="G14" s="6">
        <f t="shared" si="0"/>
        <v>29</v>
      </c>
      <c r="H14" s="16" t="s">
        <v>124</v>
      </c>
      <c r="I14" s="6">
        <f t="shared" si="1"/>
        <v>32</v>
      </c>
      <c r="J14" s="13"/>
    </row>
    <row r="15" spans="1:61" ht="16.5" customHeight="1" x14ac:dyDescent="0.25">
      <c r="A15" s="6">
        <v>12</v>
      </c>
      <c r="B15" s="6" t="s">
        <v>100</v>
      </c>
      <c r="C15" s="7">
        <v>1</v>
      </c>
      <c r="D15" s="6">
        <v>6</v>
      </c>
      <c r="E15" s="12"/>
      <c r="F15" s="23">
        <v>2</v>
      </c>
      <c r="G15" s="6">
        <f t="shared" si="0"/>
        <v>33</v>
      </c>
      <c r="H15" s="16" t="s">
        <v>124</v>
      </c>
      <c r="I15" s="6">
        <f t="shared" si="1"/>
        <v>34</v>
      </c>
      <c r="J15" s="6"/>
    </row>
    <row r="16" spans="1:61" ht="16.5" customHeight="1" x14ac:dyDescent="0.25">
      <c r="A16" s="6">
        <v>13</v>
      </c>
      <c r="B16" s="6" t="s">
        <v>101</v>
      </c>
      <c r="C16" s="7">
        <v>1</v>
      </c>
      <c r="D16" s="6">
        <v>7</v>
      </c>
      <c r="E16" s="5"/>
      <c r="F16" s="23">
        <v>3</v>
      </c>
      <c r="G16" s="6">
        <f t="shared" si="0"/>
        <v>35</v>
      </c>
      <c r="H16" s="16" t="s">
        <v>124</v>
      </c>
      <c r="I16" s="6">
        <f t="shared" si="1"/>
        <v>37</v>
      </c>
      <c r="J16" s="6"/>
    </row>
    <row r="17" spans="1:61" ht="16.5" customHeight="1" x14ac:dyDescent="0.25">
      <c r="A17" s="6">
        <v>14</v>
      </c>
      <c r="B17" s="6" t="s">
        <v>9</v>
      </c>
      <c r="C17" s="7">
        <v>1</v>
      </c>
      <c r="D17" s="6">
        <v>8</v>
      </c>
      <c r="E17" s="5"/>
      <c r="F17" s="23">
        <v>1</v>
      </c>
      <c r="G17" s="6">
        <f t="shared" si="0"/>
        <v>38</v>
      </c>
      <c r="H17" s="16" t="s">
        <v>124</v>
      </c>
      <c r="I17" s="6">
        <f t="shared" si="1"/>
        <v>38</v>
      </c>
      <c r="J17" s="6"/>
    </row>
    <row r="18" spans="1:61" ht="16.5" customHeight="1" x14ac:dyDescent="0.25">
      <c r="A18" s="6">
        <v>15</v>
      </c>
      <c r="B18" s="6" t="s">
        <v>8</v>
      </c>
      <c r="C18" s="7">
        <v>1</v>
      </c>
      <c r="D18" s="6">
        <v>9</v>
      </c>
      <c r="E18" s="5"/>
      <c r="F18" s="23">
        <v>1</v>
      </c>
      <c r="G18" s="6">
        <f t="shared" si="0"/>
        <v>39</v>
      </c>
      <c r="H18" s="16" t="s">
        <v>124</v>
      </c>
      <c r="I18" s="6">
        <f t="shared" si="1"/>
        <v>39</v>
      </c>
      <c r="J18" s="6"/>
    </row>
    <row r="19" spans="1:61" ht="16.5" customHeight="1" x14ac:dyDescent="0.25">
      <c r="A19" s="6">
        <v>16</v>
      </c>
      <c r="B19" s="6" t="s">
        <v>156</v>
      </c>
      <c r="C19" s="7">
        <v>1</v>
      </c>
      <c r="D19" s="6">
        <v>10</v>
      </c>
      <c r="E19" s="5"/>
      <c r="F19" s="23">
        <v>1</v>
      </c>
      <c r="G19" s="6">
        <f t="shared" si="0"/>
        <v>40</v>
      </c>
      <c r="H19" s="16" t="s">
        <v>124</v>
      </c>
      <c r="I19" s="6">
        <f t="shared" si="1"/>
        <v>40</v>
      </c>
      <c r="J19" s="6"/>
    </row>
    <row r="20" spans="1:61" ht="16.5" customHeight="1" x14ac:dyDescent="0.25">
      <c r="A20" s="6">
        <v>17</v>
      </c>
      <c r="B20" s="12" t="s">
        <v>103</v>
      </c>
      <c r="C20" s="5">
        <v>4</v>
      </c>
      <c r="D20" s="12">
        <v>1</v>
      </c>
      <c r="E20" s="5"/>
      <c r="F20" s="23">
        <v>3</v>
      </c>
      <c r="G20" s="6">
        <f t="shared" si="0"/>
        <v>41</v>
      </c>
      <c r="H20" s="16" t="s">
        <v>124</v>
      </c>
      <c r="I20" s="6">
        <f t="shared" si="1"/>
        <v>43</v>
      </c>
      <c r="J20" s="6"/>
    </row>
    <row r="21" spans="1:61" ht="16.5" customHeight="1" x14ac:dyDescent="0.25">
      <c r="A21" s="6">
        <v>18</v>
      </c>
      <c r="B21" s="6" t="s">
        <v>104</v>
      </c>
      <c r="C21" s="7">
        <v>4</v>
      </c>
      <c r="D21" s="6">
        <v>2</v>
      </c>
      <c r="E21" s="5"/>
      <c r="F21" s="23">
        <v>1</v>
      </c>
      <c r="G21" s="6">
        <f t="shared" si="0"/>
        <v>44</v>
      </c>
      <c r="H21" s="16" t="s">
        <v>124</v>
      </c>
      <c r="I21" s="6">
        <f t="shared" si="1"/>
        <v>44</v>
      </c>
      <c r="J21" s="6"/>
    </row>
    <row r="22" spans="1:61" ht="16.5" customHeight="1" x14ac:dyDescent="0.25">
      <c r="A22" s="6">
        <v>19</v>
      </c>
      <c r="B22" s="6" t="s">
        <v>105</v>
      </c>
      <c r="C22" s="7">
        <v>4</v>
      </c>
      <c r="D22" s="6">
        <v>3</v>
      </c>
      <c r="E22" s="5"/>
      <c r="F22" s="23">
        <v>1</v>
      </c>
      <c r="G22" s="6">
        <f t="shared" si="0"/>
        <v>45</v>
      </c>
      <c r="H22" s="16" t="s">
        <v>124</v>
      </c>
      <c r="I22" s="6">
        <f t="shared" si="1"/>
        <v>45</v>
      </c>
      <c r="J22" s="6"/>
    </row>
    <row r="23" spans="1:61" ht="16.5" customHeight="1" x14ac:dyDescent="0.25">
      <c r="A23" s="6">
        <v>20</v>
      </c>
      <c r="B23" s="6" t="s">
        <v>106</v>
      </c>
      <c r="C23" s="7">
        <v>4</v>
      </c>
      <c r="D23" s="6">
        <v>4</v>
      </c>
      <c r="E23" s="5"/>
      <c r="F23" s="23">
        <v>2</v>
      </c>
      <c r="G23" s="6">
        <f t="shared" si="0"/>
        <v>46</v>
      </c>
      <c r="H23" s="16" t="s">
        <v>124</v>
      </c>
      <c r="I23" s="6">
        <f t="shared" si="1"/>
        <v>47</v>
      </c>
      <c r="J23" s="6"/>
    </row>
    <row r="24" spans="1:61" ht="16.5" customHeight="1" x14ac:dyDescent="0.25">
      <c r="A24" s="6">
        <v>21</v>
      </c>
      <c r="B24" s="6" t="s">
        <v>107</v>
      </c>
      <c r="C24" s="7">
        <v>4</v>
      </c>
      <c r="D24" s="6">
        <v>5</v>
      </c>
      <c r="E24" s="5"/>
      <c r="F24" s="23">
        <v>10</v>
      </c>
      <c r="G24" s="6">
        <f t="shared" si="0"/>
        <v>48</v>
      </c>
      <c r="H24" s="16" t="s">
        <v>124</v>
      </c>
      <c r="I24" s="6">
        <f t="shared" si="1"/>
        <v>57</v>
      </c>
      <c r="J24" s="6"/>
    </row>
    <row r="25" spans="1:61" ht="16.5" customHeight="1" x14ac:dyDescent="0.25">
      <c r="A25" s="6">
        <v>22</v>
      </c>
      <c r="B25" s="6" t="s">
        <v>108</v>
      </c>
      <c r="C25" s="7">
        <v>4</v>
      </c>
      <c r="D25" s="6">
        <v>6</v>
      </c>
      <c r="E25" s="5"/>
      <c r="F25" s="23">
        <v>10</v>
      </c>
      <c r="G25" s="6">
        <f>I24+1</f>
        <v>58</v>
      </c>
      <c r="H25" s="16" t="s">
        <v>124</v>
      </c>
      <c r="I25" s="6">
        <f>I24+F25</f>
        <v>67</v>
      </c>
      <c r="J25" s="6"/>
    </row>
    <row r="26" spans="1:61" ht="16.5" customHeight="1" x14ac:dyDescent="0.25">
      <c r="A26" s="6">
        <v>23</v>
      </c>
      <c r="B26" s="6" t="s">
        <v>109</v>
      </c>
      <c r="C26" s="7">
        <v>4</v>
      </c>
      <c r="D26" s="6">
        <v>7</v>
      </c>
      <c r="E26" s="5"/>
      <c r="F26" s="23">
        <v>10</v>
      </c>
      <c r="G26" s="6">
        <f t="shared" si="0"/>
        <v>68</v>
      </c>
      <c r="H26" s="16" t="s">
        <v>124</v>
      </c>
      <c r="I26" s="6">
        <f t="shared" si="1"/>
        <v>77</v>
      </c>
      <c r="J26" s="6"/>
    </row>
    <row r="27" spans="1:61" ht="16.5" customHeight="1" x14ac:dyDescent="0.25">
      <c r="A27" s="6">
        <v>24</v>
      </c>
      <c r="B27" s="6" t="s">
        <v>116</v>
      </c>
      <c r="C27" s="7">
        <v>4</v>
      </c>
      <c r="D27" s="6">
        <v>8</v>
      </c>
      <c r="E27" s="5"/>
      <c r="F27" s="23">
        <v>10</v>
      </c>
      <c r="G27" s="6">
        <f t="shared" si="0"/>
        <v>78</v>
      </c>
      <c r="H27" s="16" t="s">
        <v>124</v>
      </c>
      <c r="I27" s="6">
        <f t="shared" si="1"/>
        <v>87</v>
      </c>
      <c r="J27" s="6"/>
    </row>
    <row r="28" spans="1:61" ht="16.5" customHeight="1" x14ac:dyDescent="0.25">
      <c r="A28" s="6">
        <v>25</v>
      </c>
      <c r="B28" s="6" t="s">
        <v>117</v>
      </c>
      <c r="C28" s="7">
        <v>4</v>
      </c>
      <c r="D28" s="6">
        <v>9</v>
      </c>
      <c r="E28" s="5"/>
      <c r="F28" s="23">
        <v>10</v>
      </c>
      <c r="G28" s="12">
        <f t="shared" si="0"/>
        <v>88</v>
      </c>
      <c r="H28" s="16" t="s">
        <v>124</v>
      </c>
      <c r="I28" s="12">
        <f t="shared" si="1"/>
        <v>97</v>
      </c>
      <c r="J28" s="12"/>
    </row>
    <row r="29" spans="1:61" s="4" customFormat="1" ht="16.5" customHeight="1" x14ac:dyDescent="0.25">
      <c r="A29" s="6">
        <v>26</v>
      </c>
      <c r="B29" s="6" t="s">
        <v>115</v>
      </c>
      <c r="C29" s="7">
        <v>4</v>
      </c>
      <c r="D29" s="6">
        <v>10</v>
      </c>
      <c r="E29" s="5"/>
      <c r="F29" s="23">
        <v>10</v>
      </c>
      <c r="G29" s="12">
        <f t="shared" si="0"/>
        <v>98</v>
      </c>
      <c r="H29" s="16" t="s">
        <v>124</v>
      </c>
      <c r="I29" s="12">
        <f t="shared" si="1"/>
        <v>107</v>
      </c>
      <c r="J29" s="12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</row>
    <row r="30" spans="1:61" ht="16.5" customHeight="1" x14ac:dyDescent="0.25">
      <c r="A30" s="6">
        <v>27</v>
      </c>
      <c r="B30" s="6" t="s">
        <v>110</v>
      </c>
      <c r="C30" s="7">
        <v>4</v>
      </c>
      <c r="D30" s="6">
        <v>11</v>
      </c>
      <c r="E30" s="5"/>
      <c r="F30" s="23">
        <v>2</v>
      </c>
      <c r="G30" s="12">
        <f t="shared" si="0"/>
        <v>108</v>
      </c>
      <c r="H30" s="16" t="s">
        <v>124</v>
      </c>
      <c r="I30" s="12">
        <f t="shared" si="1"/>
        <v>109</v>
      </c>
      <c r="J30" s="12"/>
    </row>
    <row r="31" spans="1:61" ht="16.5" customHeight="1" x14ac:dyDescent="0.25">
      <c r="A31" s="6">
        <v>28</v>
      </c>
      <c r="B31" s="6" t="s">
        <v>111</v>
      </c>
      <c r="C31" s="7">
        <v>4</v>
      </c>
      <c r="D31" s="6">
        <v>12</v>
      </c>
      <c r="E31" s="5"/>
      <c r="F31" s="23">
        <v>1</v>
      </c>
      <c r="G31" s="12">
        <f t="shared" si="0"/>
        <v>110</v>
      </c>
      <c r="H31" s="16" t="s">
        <v>124</v>
      </c>
      <c r="I31" s="12">
        <f t="shared" si="1"/>
        <v>110</v>
      </c>
      <c r="J31" s="12"/>
    </row>
    <row r="32" spans="1:61" ht="16.5" customHeight="1" x14ac:dyDescent="0.25">
      <c r="A32" s="6">
        <v>29</v>
      </c>
      <c r="B32" s="6" t="s">
        <v>112</v>
      </c>
      <c r="C32" s="7">
        <v>4</v>
      </c>
      <c r="D32" s="6">
        <v>13</v>
      </c>
      <c r="E32" s="5"/>
      <c r="F32" s="23">
        <v>1</v>
      </c>
      <c r="G32" s="12">
        <f t="shared" si="0"/>
        <v>111</v>
      </c>
      <c r="H32" s="16" t="s">
        <v>124</v>
      </c>
      <c r="I32" s="12">
        <f t="shared" si="1"/>
        <v>111</v>
      </c>
      <c r="J32" s="12"/>
    </row>
    <row r="33" spans="1:10" ht="16.5" customHeight="1" x14ac:dyDescent="0.25">
      <c r="A33" s="6">
        <v>30</v>
      </c>
      <c r="B33" s="6" t="s">
        <v>113</v>
      </c>
      <c r="C33" s="7">
        <v>4</v>
      </c>
      <c r="D33" s="6">
        <v>14</v>
      </c>
      <c r="E33" s="5"/>
      <c r="F33" s="23">
        <v>1</v>
      </c>
      <c r="G33" s="12">
        <f t="shared" si="0"/>
        <v>112</v>
      </c>
      <c r="H33" s="16" t="s">
        <v>124</v>
      </c>
      <c r="I33" s="12">
        <f t="shared" si="1"/>
        <v>112</v>
      </c>
      <c r="J33" s="12"/>
    </row>
    <row r="34" spans="1:10" ht="16.5" customHeight="1" x14ac:dyDescent="0.25">
      <c r="A34" s="6">
        <v>31</v>
      </c>
      <c r="B34" s="6" t="s">
        <v>118</v>
      </c>
      <c r="C34" s="7">
        <v>4</v>
      </c>
      <c r="D34" s="6">
        <v>15</v>
      </c>
      <c r="E34" s="5"/>
      <c r="F34" s="23">
        <v>1</v>
      </c>
      <c r="G34" s="6">
        <f t="shared" si="0"/>
        <v>113</v>
      </c>
      <c r="H34" s="16" t="s">
        <v>124</v>
      </c>
      <c r="I34" s="6">
        <f t="shared" si="1"/>
        <v>113</v>
      </c>
      <c r="J34" s="6"/>
    </row>
    <row r="35" spans="1:10" ht="16.5" customHeight="1" x14ac:dyDescent="0.25">
      <c r="A35" s="6">
        <v>32</v>
      </c>
      <c r="B35" s="6" t="s">
        <v>114</v>
      </c>
      <c r="C35" s="7">
        <v>4</v>
      </c>
      <c r="D35" s="6">
        <v>16</v>
      </c>
      <c r="E35" s="5"/>
      <c r="F35" s="23">
        <v>1</v>
      </c>
      <c r="G35" s="6">
        <f t="shared" si="0"/>
        <v>114</v>
      </c>
      <c r="H35" s="16" t="s">
        <v>124</v>
      </c>
      <c r="I35" s="6">
        <f t="shared" si="1"/>
        <v>114</v>
      </c>
      <c r="J35" s="6"/>
    </row>
    <row r="36" spans="1:10" ht="16.5" customHeight="1" x14ac:dyDescent="0.25">
      <c r="A36" s="6">
        <v>33</v>
      </c>
      <c r="B36" s="6" t="s">
        <v>119</v>
      </c>
      <c r="C36" s="7">
        <v>4</v>
      </c>
      <c r="D36" s="6">
        <v>17</v>
      </c>
      <c r="E36" s="5"/>
      <c r="F36" s="23">
        <v>1</v>
      </c>
      <c r="G36" s="6">
        <f t="shared" si="0"/>
        <v>115</v>
      </c>
      <c r="H36" s="16" t="s">
        <v>124</v>
      </c>
      <c r="I36" s="6">
        <f t="shared" si="1"/>
        <v>115</v>
      </c>
      <c r="J36" s="6"/>
    </row>
    <row r="37" spans="1:10" ht="16.5" customHeight="1" x14ac:dyDescent="0.25">
      <c r="A37" s="6">
        <v>34</v>
      </c>
      <c r="B37" s="6" t="s">
        <v>120</v>
      </c>
      <c r="C37" s="7">
        <v>4</v>
      </c>
      <c r="D37" s="6">
        <v>18</v>
      </c>
      <c r="E37" s="5"/>
      <c r="F37" s="23">
        <v>1</v>
      </c>
      <c r="G37" s="6">
        <f t="shared" si="0"/>
        <v>116</v>
      </c>
      <c r="H37" s="16" t="s">
        <v>124</v>
      </c>
      <c r="I37" s="6">
        <f t="shared" si="1"/>
        <v>116</v>
      </c>
      <c r="J37" s="6"/>
    </row>
    <row r="38" spans="1:10" ht="16.5" customHeight="1" x14ac:dyDescent="0.25">
      <c r="A38" s="6">
        <v>35</v>
      </c>
      <c r="B38" s="17" t="s">
        <v>102</v>
      </c>
      <c r="C38" s="18">
        <v>2</v>
      </c>
      <c r="D38" s="18">
        <v>3</v>
      </c>
      <c r="E38" s="17">
        <v>3</v>
      </c>
      <c r="F38" s="23">
        <v>3</v>
      </c>
      <c r="G38" s="6">
        <f t="shared" si="0"/>
        <v>117</v>
      </c>
      <c r="H38" s="16" t="s">
        <v>124</v>
      </c>
      <c r="I38" s="6">
        <f t="shared" si="1"/>
        <v>119</v>
      </c>
      <c r="J38" s="6"/>
    </row>
    <row r="39" spans="1:10" ht="16.5" customHeight="1" x14ac:dyDescent="0.25">
      <c r="A39" s="6">
        <v>36</v>
      </c>
      <c r="B39" s="25" t="s">
        <v>80</v>
      </c>
      <c r="C39" s="25"/>
      <c r="D39" s="25"/>
      <c r="E39" s="25"/>
      <c r="F39" s="23">
        <v>3</v>
      </c>
      <c r="G39" s="6">
        <f t="shared" si="0"/>
        <v>120</v>
      </c>
      <c r="H39" s="16" t="s">
        <v>124</v>
      </c>
      <c r="I39" s="6">
        <f t="shared" si="1"/>
        <v>122</v>
      </c>
      <c r="J39" s="25"/>
    </row>
    <row r="40" spans="1:10" s="2" customFormat="1" ht="16.5" customHeight="1" x14ac:dyDescent="0.25">
      <c r="A40" s="6">
        <v>37</v>
      </c>
      <c r="B40" s="25" t="s">
        <v>81</v>
      </c>
      <c r="C40" s="25"/>
      <c r="D40" s="25"/>
      <c r="E40" s="25"/>
      <c r="F40" s="23">
        <v>10</v>
      </c>
      <c r="G40" s="6">
        <f t="shared" si="0"/>
        <v>123</v>
      </c>
      <c r="H40" s="16" t="s">
        <v>124</v>
      </c>
      <c r="I40" s="6">
        <f t="shared" si="1"/>
        <v>132</v>
      </c>
      <c r="J40" s="25"/>
    </row>
    <row r="41" spans="1:10" s="2" customFormat="1" ht="16.5" customHeight="1" x14ac:dyDescent="0.25">
      <c r="A41" s="26"/>
      <c r="B41" s="26"/>
      <c r="C41" s="26"/>
      <c r="D41" s="26"/>
      <c r="E41" s="26"/>
      <c r="F41" s="26"/>
      <c r="G41" s="26"/>
      <c r="H41" s="26"/>
      <c r="I41" s="26"/>
      <c r="J41" s="26"/>
    </row>
    <row r="42" spans="1:10" s="2" customFormat="1" ht="16.5" customHeight="1" x14ac:dyDescent="0.25">
      <c r="A42" s="27" t="s">
        <v>92</v>
      </c>
      <c r="B42" s="27"/>
      <c r="C42" s="27"/>
      <c r="D42" s="27"/>
      <c r="E42" s="27"/>
      <c r="F42" s="27"/>
      <c r="G42" s="27"/>
      <c r="H42" s="27"/>
      <c r="I42" s="27"/>
      <c r="J42" s="27"/>
    </row>
    <row r="43" spans="1:10" s="2" customFormat="1" ht="16.5" customHeight="1" x14ac:dyDescent="0.25">
      <c r="A43" s="28" t="s">
        <v>150</v>
      </c>
      <c r="B43" s="28"/>
      <c r="C43" s="28"/>
      <c r="D43" s="28"/>
      <c r="E43" s="28"/>
      <c r="F43" s="28"/>
      <c r="G43" s="28"/>
      <c r="H43" s="28"/>
      <c r="I43" s="28"/>
      <c r="J43" s="28"/>
    </row>
    <row r="44" spans="1:10" s="2" customFormat="1" ht="16.5" customHeight="1" x14ac:dyDescent="0.25">
      <c r="A44" s="15" t="s">
        <v>0</v>
      </c>
      <c r="B44" s="19" t="s">
        <v>1</v>
      </c>
      <c r="C44" s="20" t="s">
        <v>2</v>
      </c>
      <c r="D44" s="20" t="s">
        <v>148</v>
      </c>
      <c r="E44" s="20" t="s">
        <v>149</v>
      </c>
      <c r="F44" s="20" t="s">
        <v>3</v>
      </c>
      <c r="G44" s="29" t="s">
        <v>4</v>
      </c>
      <c r="H44" s="29"/>
      <c r="I44" s="29"/>
      <c r="J44" s="19" t="s">
        <v>12</v>
      </c>
    </row>
    <row r="45" spans="1:10" s="2" customFormat="1" ht="16.5" customHeight="1" x14ac:dyDescent="0.25">
      <c r="A45" s="6">
        <v>1</v>
      </c>
      <c r="B45" s="6" t="s">
        <v>93</v>
      </c>
      <c r="C45" s="30"/>
      <c r="D45" s="31"/>
      <c r="E45" s="13"/>
      <c r="F45" s="25">
        <v>3</v>
      </c>
      <c r="G45" s="6">
        <v>1</v>
      </c>
      <c r="H45" s="16" t="s">
        <v>124</v>
      </c>
      <c r="I45" s="6">
        <f>F45</f>
        <v>3</v>
      </c>
      <c r="J45" s="13" t="s">
        <v>121</v>
      </c>
    </row>
    <row r="46" spans="1:10" s="2" customFormat="1" ht="16.5" customHeight="1" x14ac:dyDescent="0.25">
      <c r="A46" s="6">
        <v>2</v>
      </c>
      <c r="B46" s="6" t="s">
        <v>94</v>
      </c>
      <c r="C46" s="7">
        <v>1</v>
      </c>
      <c r="D46" s="6">
        <v>1</v>
      </c>
      <c r="E46" s="7"/>
      <c r="F46" s="25">
        <v>5</v>
      </c>
      <c r="G46" s="6">
        <f t="shared" ref="G46:G85" si="2">I45+1</f>
        <v>4</v>
      </c>
      <c r="H46" s="16" t="s">
        <v>124</v>
      </c>
      <c r="I46" s="6">
        <f t="shared" ref="I46:I85" si="3">I45+F46</f>
        <v>8</v>
      </c>
      <c r="J46" s="13"/>
    </row>
    <row r="47" spans="1:10" s="2" customFormat="1" ht="16.5" customHeight="1" x14ac:dyDescent="0.25">
      <c r="A47" s="6">
        <v>3</v>
      </c>
      <c r="B47" s="6" t="s">
        <v>95</v>
      </c>
      <c r="C47" s="7">
        <v>1</v>
      </c>
      <c r="D47" s="6">
        <v>2</v>
      </c>
      <c r="E47" s="7"/>
      <c r="F47" s="25">
        <v>3</v>
      </c>
      <c r="G47" s="6">
        <f t="shared" si="2"/>
        <v>9</v>
      </c>
      <c r="H47" s="16" t="s">
        <v>124</v>
      </c>
      <c r="I47" s="6">
        <f t="shared" si="3"/>
        <v>11</v>
      </c>
      <c r="J47" s="13" t="s">
        <v>122</v>
      </c>
    </row>
    <row r="48" spans="1:10" s="2" customFormat="1" ht="16.5" customHeight="1" x14ac:dyDescent="0.25">
      <c r="A48" s="6">
        <v>4</v>
      </c>
      <c r="B48" s="6" t="s">
        <v>96</v>
      </c>
      <c r="C48" s="7">
        <v>1</v>
      </c>
      <c r="D48" s="6">
        <v>3</v>
      </c>
      <c r="E48" s="7"/>
      <c r="F48" s="25">
        <v>4</v>
      </c>
      <c r="G48" s="6">
        <f t="shared" si="2"/>
        <v>12</v>
      </c>
      <c r="H48" s="16" t="s">
        <v>124</v>
      </c>
      <c r="I48" s="6">
        <f t="shared" si="3"/>
        <v>15</v>
      </c>
      <c r="J48" s="13" t="s">
        <v>123</v>
      </c>
    </row>
    <row r="49" spans="1:10" s="2" customFormat="1" ht="16.5" customHeight="1" x14ac:dyDescent="0.25">
      <c r="A49" s="6">
        <v>5</v>
      </c>
      <c r="B49" s="6" t="s">
        <v>5</v>
      </c>
      <c r="C49" s="7"/>
      <c r="D49" s="6"/>
      <c r="E49" s="7"/>
      <c r="F49" s="25">
        <v>1</v>
      </c>
      <c r="G49" s="6">
        <f t="shared" si="2"/>
        <v>16</v>
      </c>
      <c r="H49" s="16" t="s">
        <v>124</v>
      </c>
      <c r="I49" s="6">
        <f t="shared" si="3"/>
        <v>16</v>
      </c>
      <c r="J49" s="13"/>
    </row>
    <row r="50" spans="1:10" s="2" customFormat="1" ht="16.5" customHeight="1" x14ac:dyDescent="0.25">
      <c r="A50" s="6">
        <v>6</v>
      </c>
      <c r="B50" s="6" t="s">
        <v>10</v>
      </c>
      <c r="C50" s="7"/>
      <c r="D50" s="6"/>
      <c r="E50" s="6"/>
      <c r="F50" s="25">
        <v>3</v>
      </c>
      <c r="G50" s="6">
        <f t="shared" si="2"/>
        <v>17</v>
      </c>
      <c r="H50" s="16" t="s">
        <v>124</v>
      </c>
      <c r="I50" s="6">
        <f t="shared" si="3"/>
        <v>19</v>
      </c>
      <c r="J50" s="13"/>
    </row>
    <row r="51" spans="1:10" s="2" customFormat="1" ht="16.5" customHeight="1" x14ac:dyDescent="0.25">
      <c r="A51" s="6">
        <v>7</v>
      </c>
      <c r="B51" s="6" t="s">
        <v>97</v>
      </c>
      <c r="C51" s="7"/>
      <c r="D51" s="6"/>
      <c r="E51" s="5"/>
      <c r="F51" s="25">
        <v>2</v>
      </c>
      <c r="G51" s="6">
        <f t="shared" si="2"/>
        <v>20</v>
      </c>
      <c r="H51" s="16" t="s">
        <v>124</v>
      </c>
      <c r="I51" s="6">
        <f t="shared" si="3"/>
        <v>21</v>
      </c>
      <c r="J51" s="13"/>
    </row>
    <row r="52" spans="1:10" s="2" customFormat="1" ht="16.5" customHeight="1" x14ac:dyDescent="0.25">
      <c r="A52" s="6">
        <v>8</v>
      </c>
      <c r="B52" s="6" t="s">
        <v>6</v>
      </c>
      <c r="C52" s="7"/>
      <c r="D52" s="6"/>
      <c r="E52" s="7"/>
      <c r="F52" s="25">
        <v>3</v>
      </c>
      <c r="G52" s="6">
        <f t="shared" si="2"/>
        <v>22</v>
      </c>
      <c r="H52" s="16" t="s">
        <v>124</v>
      </c>
      <c r="I52" s="6">
        <f t="shared" si="3"/>
        <v>24</v>
      </c>
      <c r="J52" s="13"/>
    </row>
    <row r="53" spans="1:10" s="2" customFormat="1" ht="16.5" customHeight="1" x14ac:dyDescent="0.25">
      <c r="A53" s="6">
        <v>9</v>
      </c>
      <c r="B53" s="6" t="s">
        <v>7</v>
      </c>
      <c r="C53" s="7"/>
      <c r="D53" s="6"/>
      <c r="E53" s="6"/>
      <c r="F53" s="25">
        <v>3</v>
      </c>
      <c r="G53" s="6">
        <f t="shared" si="2"/>
        <v>25</v>
      </c>
      <c r="H53" s="16" t="s">
        <v>124</v>
      </c>
      <c r="I53" s="6">
        <f t="shared" si="3"/>
        <v>27</v>
      </c>
      <c r="J53" s="13"/>
    </row>
    <row r="54" spans="1:10" s="2" customFormat="1" ht="16.5" customHeight="1" x14ac:dyDescent="0.25">
      <c r="A54" s="6">
        <v>10</v>
      </c>
      <c r="B54" s="6" t="s">
        <v>98</v>
      </c>
      <c r="C54" s="7"/>
      <c r="D54" s="6"/>
      <c r="E54" s="6"/>
      <c r="F54" s="25">
        <v>1</v>
      </c>
      <c r="G54" s="6">
        <f t="shared" si="2"/>
        <v>28</v>
      </c>
      <c r="H54" s="16" t="s">
        <v>124</v>
      </c>
      <c r="I54" s="6">
        <f t="shared" si="3"/>
        <v>28</v>
      </c>
      <c r="J54" s="13"/>
    </row>
    <row r="55" spans="1:10" s="2" customFormat="1" ht="16.5" customHeight="1" x14ac:dyDescent="0.25">
      <c r="A55" s="6">
        <v>11</v>
      </c>
      <c r="B55" s="6" t="s">
        <v>99</v>
      </c>
      <c r="C55" s="7"/>
      <c r="D55" s="6"/>
      <c r="E55" s="6"/>
      <c r="F55" s="25">
        <v>4</v>
      </c>
      <c r="G55" s="6">
        <f t="shared" si="2"/>
        <v>29</v>
      </c>
      <c r="H55" s="16" t="s">
        <v>124</v>
      </c>
      <c r="I55" s="6">
        <f t="shared" si="3"/>
        <v>32</v>
      </c>
      <c r="J55" s="13"/>
    </row>
    <row r="56" spans="1:10" s="2" customFormat="1" ht="16.5" customHeight="1" x14ac:dyDescent="0.25">
      <c r="A56" s="6">
        <v>12</v>
      </c>
      <c r="B56" s="6" t="s">
        <v>100</v>
      </c>
      <c r="C56" s="7">
        <v>1</v>
      </c>
      <c r="D56" s="6">
        <v>4</v>
      </c>
      <c r="E56" s="6"/>
      <c r="F56" s="25">
        <v>2</v>
      </c>
      <c r="G56" s="6">
        <f t="shared" si="2"/>
        <v>33</v>
      </c>
      <c r="H56" s="16" t="s">
        <v>124</v>
      </c>
      <c r="I56" s="6">
        <f t="shared" si="3"/>
        <v>34</v>
      </c>
      <c r="J56" s="25"/>
    </row>
    <row r="57" spans="1:10" s="2" customFormat="1" ht="16.5" customHeight="1" x14ac:dyDescent="0.25">
      <c r="A57" s="6">
        <v>13</v>
      </c>
      <c r="B57" s="12" t="s">
        <v>125</v>
      </c>
      <c r="C57" s="5">
        <v>3</v>
      </c>
      <c r="D57" s="14" t="s">
        <v>147</v>
      </c>
      <c r="E57" s="12">
        <v>1</v>
      </c>
      <c r="F57" s="25">
        <v>3</v>
      </c>
      <c r="G57" s="6">
        <f t="shared" si="2"/>
        <v>35</v>
      </c>
      <c r="H57" s="16" t="s">
        <v>124</v>
      </c>
      <c r="I57" s="6">
        <f t="shared" si="3"/>
        <v>37</v>
      </c>
      <c r="J57" s="6"/>
    </row>
    <row r="58" spans="1:10" s="2" customFormat="1" ht="16.5" customHeight="1" x14ac:dyDescent="0.25">
      <c r="A58" s="6">
        <v>14</v>
      </c>
      <c r="B58" s="6" t="s">
        <v>126</v>
      </c>
      <c r="C58" s="7">
        <v>3</v>
      </c>
      <c r="D58" s="13" t="s">
        <v>147</v>
      </c>
      <c r="E58" s="6">
        <v>3</v>
      </c>
      <c r="F58" s="25">
        <v>1</v>
      </c>
      <c r="G58" s="6">
        <f t="shared" si="2"/>
        <v>38</v>
      </c>
      <c r="H58" s="16" t="s">
        <v>124</v>
      </c>
      <c r="I58" s="6">
        <f t="shared" si="3"/>
        <v>38</v>
      </c>
      <c r="J58" s="6"/>
    </row>
    <row r="59" spans="1:10" s="2" customFormat="1" ht="16.5" customHeight="1" x14ac:dyDescent="0.25">
      <c r="A59" s="6">
        <v>15</v>
      </c>
      <c r="B59" s="6" t="s">
        <v>89</v>
      </c>
      <c r="C59" s="7">
        <v>3</v>
      </c>
      <c r="D59" s="13" t="s">
        <v>147</v>
      </c>
      <c r="E59" s="6">
        <v>4</v>
      </c>
      <c r="F59" s="25">
        <v>1</v>
      </c>
      <c r="G59" s="6">
        <f t="shared" si="2"/>
        <v>39</v>
      </c>
      <c r="H59" s="16" t="s">
        <v>124</v>
      </c>
      <c r="I59" s="6">
        <f t="shared" si="3"/>
        <v>39</v>
      </c>
      <c r="J59" s="6"/>
    </row>
    <row r="60" spans="1:10" s="2" customFormat="1" ht="16.5" customHeight="1" x14ac:dyDescent="0.25">
      <c r="A60" s="6">
        <v>16</v>
      </c>
      <c r="B60" s="12" t="s">
        <v>11</v>
      </c>
      <c r="C60" s="5">
        <v>3</v>
      </c>
      <c r="D60" s="14" t="s">
        <v>147</v>
      </c>
      <c r="E60" s="12">
        <v>5</v>
      </c>
      <c r="F60" s="25">
        <v>3</v>
      </c>
      <c r="G60" s="6">
        <f t="shared" si="2"/>
        <v>40</v>
      </c>
      <c r="H60" s="16" t="s">
        <v>124</v>
      </c>
      <c r="I60" s="6">
        <f t="shared" si="3"/>
        <v>42</v>
      </c>
      <c r="J60" s="6"/>
    </row>
    <row r="61" spans="1:10" s="2" customFormat="1" ht="16.5" customHeight="1" x14ac:dyDescent="0.25">
      <c r="A61" s="6">
        <v>17</v>
      </c>
      <c r="B61" s="6" t="s">
        <v>127</v>
      </c>
      <c r="C61" s="7">
        <v>3</v>
      </c>
      <c r="D61" s="13" t="s">
        <v>147</v>
      </c>
      <c r="E61" s="6">
        <v>6</v>
      </c>
      <c r="F61" s="25">
        <v>1</v>
      </c>
      <c r="G61" s="6">
        <f t="shared" si="2"/>
        <v>43</v>
      </c>
      <c r="H61" s="16" t="s">
        <v>124</v>
      </c>
      <c r="I61" s="6">
        <f t="shared" si="3"/>
        <v>43</v>
      </c>
      <c r="J61" s="6"/>
    </row>
    <row r="62" spans="1:10" s="2" customFormat="1" ht="16.5" customHeight="1" x14ac:dyDescent="0.25">
      <c r="A62" s="6">
        <v>18</v>
      </c>
      <c r="B62" s="6" t="s">
        <v>128</v>
      </c>
      <c r="C62" s="7">
        <v>3</v>
      </c>
      <c r="D62" s="13" t="s">
        <v>147</v>
      </c>
      <c r="E62" s="6">
        <v>7</v>
      </c>
      <c r="F62" s="25">
        <v>2</v>
      </c>
      <c r="G62" s="6">
        <f t="shared" si="2"/>
        <v>44</v>
      </c>
      <c r="H62" s="16" t="s">
        <v>124</v>
      </c>
      <c r="I62" s="6">
        <f t="shared" si="3"/>
        <v>45</v>
      </c>
      <c r="J62" s="6"/>
    </row>
    <row r="63" spans="1:10" s="2" customFormat="1" ht="16.5" customHeight="1" x14ac:dyDescent="0.25">
      <c r="A63" s="6">
        <v>19</v>
      </c>
      <c r="B63" s="6" t="s">
        <v>155</v>
      </c>
      <c r="C63" s="7">
        <v>3</v>
      </c>
      <c r="D63" s="13" t="s">
        <v>147</v>
      </c>
      <c r="E63" s="6">
        <v>8</v>
      </c>
      <c r="F63" s="25">
        <v>2</v>
      </c>
      <c r="G63" s="6">
        <f t="shared" si="2"/>
        <v>46</v>
      </c>
      <c r="H63" s="16" t="s">
        <v>124</v>
      </c>
      <c r="I63" s="6">
        <f t="shared" si="3"/>
        <v>47</v>
      </c>
      <c r="J63" s="6"/>
    </row>
    <row r="64" spans="1:10" s="2" customFormat="1" ht="16.5" customHeight="1" x14ac:dyDescent="0.25">
      <c r="A64" s="6">
        <v>20</v>
      </c>
      <c r="B64" s="6" t="s">
        <v>129</v>
      </c>
      <c r="C64" s="7">
        <v>3</v>
      </c>
      <c r="D64" s="13" t="s">
        <v>147</v>
      </c>
      <c r="E64" s="6">
        <v>10</v>
      </c>
      <c r="F64" s="25">
        <v>2</v>
      </c>
      <c r="G64" s="6">
        <f t="shared" si="2"/>
        <v>48</v>
      </c>
      <c r="H64" s="16" t="s">
        <v>124</v>
      </c>
      <c r="I64" s="6">
        <f t="shared" si="3"/>
        <v>49</v>
      </c>
      <c r="J64" s="6"/>
    </row>
    <row r="65" spans="1:10" s="2" customFormat="1" ht="16.5" customHeight="1" x14ac:dyDescent="0.25">
      <c r="A65" s="6">
        <v>21</v>
      </c>
      <c r="B65" s="6" t="s">
        <v>130</v>
      </c>
      <c r="C65" s="7">
        <v>5</v>
      </c>
      <c r="D65" s="6">
        <v>1</v>
      </c>
      <c r="E65" s="6"/>
      <c r="F65" s="25">
        <v>3</v>
      </c>
      <c r="G65" s="6">
        <f t="shared" si="2"/>
        <v>50</v>
      </c>
      <c r="H65" s="16" t="s">
        <v>124</v>
      </c>
      <c r="I65" s="6">
        <f t="shared" si="3"/>
        <v>52</v>
      </c>
      <c r="J65" s="6"/>
    </row>
    <row r="66" spans="1:10" s="2" customFormat="1" ht="16.5" customHeight="1" x14ac:dyDescent="0.25">
      <c r="A66" s="6">
        <v>22</v>
      </c>
      <c r="B66" s="12" t="s">
        <v>90</v>
      </c>
      <c r="C66" s="5">
        <v>5</v>
      </c>
      <c r="D66" s="12">
        <v>2</v>
      </c>
      <c r="E66" s="6"/>
      <c r="F66" s="25">
        <v>3</v>
      </c>
      <c r="G66" s="6">
        <f t="shared" si="2"/>
        <v>53</v>
      </c>
      <c r="H66" s="16" t="s">
        <v>124</v>
      </c>
      <c r="I66" s="6">
        <f t="shared" si="3"/>
        <v>55</v>
      </c>
      <c r="J66" s="6"/>
    </row>
    <row r="67" spans="1:10" s="2" customFormat="1" ht="16.5" customHeight="1" x14ac:dyDescent="0.25">
      <c r="A67" s="6">
        <v>23</v>
      </c>
      <c r="B67" s="6" t="s">
        <v>134</v>
      </c>
      <c r="C67" s="7">
        <v>5</v>
      </c>
      <c r="D67" s="6">
        <v>3</v>
      </c>
      <c r="E67" s="6"/>
      <c r="F67" s="25">
        <v>3</v>
      </c>
      <c r="G67" s="6">
        <f t="shared" si="2"/>
        <v>56</v>
      </c>
      <c r="H67" s="16" t="s">
        <v>124</v>
      </c>
      <c r="I67" s="6">
        <f t="shared" si="3"/>
        <v>58</v>
      </c>
      <c r="J67" s="6"/>
    </row>
    <row r="68" spans="1:10" s="2" customFormat="1" ht="16.5" customHeight="1" x14ac:dyDescent="0.25">
      <c r="A68" s="6">
        <v>24</v>
      </c>
      <c r="B68" s="25" t="s">
        <v>135</v>
      </c>
      <c r="C68" s="7">
        <v>5</v>
      </c>
      <c r="D68" s="6">
        <v>4</v>
      </c>
      <c r="E68" s="6"/>
      <c r="F68" s="25">
        <v>1</v>
      </c>
      <c r="G68" s="6">
        <f t="shared" si="2"/>
        <v>59</v>
      </c>
      <c r="H68" s="16" t="s">
        <v>124</v>
      </c>
      <c r="I68" s="6">
        <f t="shared" si="3"/>
        <v>59</v>
      </c>
      <c r="J68" s="6"/>
    </row>
    <row r="69" spans="1:10" s="2" customFormat="1" ht="16.5" customHeight="1" x14ac:dyDescent="0.25">
      <c r="A69" s="6">
        <v>25</v>
      </c>
      <c r="B69" s="6" t="s">
        <v>131</v>
      </c>
      <c r="C69" s="7">
        <v>5</v>
      </c>
      <c r="D69" s="6">
        <v>5</v>
      </c>
      <c r="E69" s="6"/>
      <c r="F69" s="25">
        <v>1</v>
      </c>
      <c r="G69" s="6">
        <f t="shared" si="2"/>
        <v>60</v>
      </c>
      <c r="H69" s="16" t="s">
        <v>124</v>
      </c>
      <c r="I69" s="6">
        <f t="shared" si="3"/>
        <v>60</v>
      </c>
      <c r="J69" s="6"/>
    </row>
    <row r="70" spans="1:10" s="2" customFormat="1" ht="16.5" customHeight="1" x14ac:dyDescent="0.25">
      <c r="A70" s="6">
        <v>26</v>
      </c>
      <c r="B70" s="6" t="s">
        <v>132</v>
      </c>
      <c r="C70" s="7">
        <v>5</v>
      </c>
      <c r="D70" s="6">
        <v>6</v>
      </c>
      <c r="E70" s="6"/>
      <c r="F70" s="25">
        <v>1</v>
      </c>
      <c r="G70" s="6">
        <f t="shared" si="2"/>
        <v>61</v>
      </c>
      <c r="H70" s="16" t="s">
        <v>124</v>
      </c>
      <c r="I70" s="6">
        <f t="shared" si="3"/>
        <v>61</v>
      </c>
      <c r="J70" s="6"/>
    </row>
    <row r="71" spans="1:10" s="2" customFormat="1" ht="16.5" customHeight="1" x14ac:dyDescent="0.25">
      <c r="A71" s="6">
        <v>27</v>
      </c>
      <c r="B71" s="6" t="s">
        <v>133</v>
      </c>
      <c r="C71" s="6">
        <v>5</v>
      </c>
      <c r="D71" s="6">
        <v>7</v>
      </c>
      <c r="E71" s="6"/>
      <c r="F71" s="25">
        <v>1</v>
      </c>
      <c r="G71" s="6">
        <f t="shared" si="2"/>
        <v>62</v>
      </c>
      <c r="H71" s="16" t="s">
        <v>124</v>
      </c>
      <c r="I71" s="6">
        <f t="shared" si="3"/>
        <v>62</v>
      </c>
      <c r="J71" s="6"/>
    </row>
    <row r="72" spans="1:10" s="2" customFormat="1" ht="16.5" customHeight="1" x14ac:dyDescent="0.25">
      <c r="A72" s="6">
        <v>28</v>
      </c>
      <c r="B72" s="6" t="s">
        <v>136</v>
      </c>
      <c r="C72" s="7">
        <v>6</v>
      </c>
      <c r="D72" s="13" t="s">
        <v>147</v>
      </c>
      <c r="E72" s="6">
        <v>1</v>
      </c>
      <c r="F72" s="25">
        <v>3</v>
      </c>
      <c r="G72" s="6">
        <f t="shared" si="2"/>
        <v>63</v>
      </c>
      <c r="H72" s="16" t="s">
        <v>124</v>
      </c>
      <c r="I72" s="6">
        <f t="shared" si="3"/>
        <v>65</v>
      </c>
      <c r="J72" s="6"/>
    </row>
    <row r="73" spans="1:10" s="2" customFormat="1" ht="16.5" customHeight="1" x14ac:dyDescent="0.25">
      <c r="A73" s="6">
        <v>29</v>
      </c>
      <c r="B73" s="12" t="s">
        <v>90</v>
      </c>
      <c r="C73" s="5">
        <v>6</v>
      </c>
      <c r="D73" s="14" t="s">
        <v>147</v>
      </c>
      <c r="E73" s="12">
        <v>2</v>
      </c>
      <c r="F73" s="25">
        <v>3</v>
      </c>
      <c r="G73" s="6">
        <f t="shared" si="2"/>
        <v>66</v>
      </c>
      <c r="H73" s="16" t="s">
        <v>124</v>
      </c>
      <c r="I73" s="6">
        <f t="shared" si="3"/>
        <v>68</v>
      </c>
      <c r="J73" s="6"/>
    </row>
    <row r="74" spans="1:10" s="2" customFormat="1" ht="16.5" customHeight="1" x14ac:dyDescent="0.25">
      <c r="A74" s="6">
        <v>30</v>
      </c>
      <c r="B74" s="6" t="s">
        <v>137</v>
      </c>
      <c r="C74" s="7">
        <v>6</v>
      </c>
      <c r="D74" s="13" t="s">
        <v>147</v>
      </c>
      <c r="E74" s="6">
        <v>3</v>
      </c>
      <c r="F74" s="25">
        <v>3</v>
      </c>
      <c r="G74" s="6">
        <f t="shared" si="2"/>
        <v>69</v>
      </c>
      <c r="H74" s="16" t="s">
        <v>124</v>
      </c>
      <c r="I74" s="6">
        <f t="shared" si="3"/>
        <v>71</v>
      </c>
      <c r="J74" s="6"/>
    </row>
    <row r="75" spans="1:10" s="2" customFormat="1" ht="16.5" customHeight="1" x14ac:dyDescent="0.25">
      <c r="A75" s="6">
        <v>31</v>
      </c>
      <c r="B75" s="6" t="s">
        <v>153</v>
      </c>
      <c r="C75" s="7">
        <v>6</v>
      </c>
      <c r="D75" s="13" t="s">
        <v>147</v>
      </c>
      <c r="E75" s="6">
        <v>4</v>
      </c>
      <c r="F75" s="25">
        <v>5</v>
      </c>
      <c r="G75" s="6">
        <f t="shared" si="2"/>
        <v>72</v>
      </c>
      <c r="H75" s="16" t="s">
        <v>124</v>
      </c>
      <c r="I75" s="6">
        <f t="shared" si="3"/>
        <v>76</v>
      </c>
      <c r="J75" s="6"/>
    </row>
    <row r="76" spans="1:10" s="2" customFormat="1" ht="16.5" customHeight="1" x14ac:dyDescent="0.25">
      <c r="A76" s="6">
        <v>32</v>
      </c>
      <c r="B76" s="6" t="s">
        <v>154</v>
      </c>
      <c r="C76" s="7">
        <v>6</v>
      </c>
      <c r="D76" s="13" t="s">
        <v>147</v>
      </c>
      <c r="E76" s="6">
        <v>5</v>
      </c>
      <c r="F76" s="25">
        <v>5</v>
      </c>
      <c r="G76" s="6">
        <f t="shared" si="2"/>
        <v>77</v>
      </c>
      <c r="H76" s="16" t="s">
        <v>124</v>
      </c>
      <c r="I76" s="6">
        <f t="shared" si="3"/>
        <v>81</v>
      </c>
      <c r="J76" s="6"/>
    </row>
    <row r="77" spans="1:10" s="2" customFormat="1" ht="16.5" customHeight="1" x14ac:dyDescent="0.25">
      <c r="A77" s="6">
        <v>33</v>
      </c>
      <c r="B77" s="6" t="s">
        <v>138</v>
      </c>
      <c r="C77" s="7">
        <v>6</v>
      </c>
      <c r="D77" s="13" t="s">
        <v>147</v>
      </c>
      <c r="E77" s="6">
        <v>6</v>
      </c>
      <c r="F77" s="25">
        <v>1</v>
      </c>
      <c r="G77" s="6">
        <f t="shared" si="2"/>
        <v>82</v>
      </c>
      <c r="H77" s="16" t="s">
        <v>124</v>
      </c>
      <c r="I77" s="6">
        <f t="shared" si="3"/>
        <v>82</v>
      </c>
      <c r="J77" s="6"/>
    </row>
    <row r="78" spans="1:10" s="2" customFormat="1" ht="16.5" customHeight="1" x14ac:dyDescent="0.25">
      <c r="A78" s="6">
        <v>34</v>
      </c>
      <c r="B78" s="6" t="s">
        <v>139</v>
      </c>
      <c r="C78" s="7">
        <v>6</v>
      </c>
      <c r="D78" s="13" t="s">
        <v>147</v>
      </c>
      <c r="E78" s="6">
        <v>7</v>
      </c>
      <c r="F78" s="25">
        <v>1</v>
      </c>
      <c r="G78" s="6">
        <f t="shared" si="2"/>
        <v>83</v>
      </c>
      <c r="H78" s="16" t="s">
        <v>124</v>
      </c>
      <c r="I78" s="6">
        <f t="shared" si="3"/>
        <v>83</v>
      </c>
      <c r="J78" s="6"/>
    </row>
    <row r="79" spans="1:10" s="2" customFormat="1" ht="16.5" customHeight="1" x14ac:dyDescent="0.25">
      <c r="A79" s="6">
        <v>35</v>
      </c>
      <c r="B79" s="6" t="s">
        <v>140</v>
      </c>
      <c r="C79" s="7">
        <v>6</v>
      </c>
      <c r="D79" s="13" t="s">
        <v>147</v>
      </c>
      <c r="E79" s="6">
        <v>9</v>
      </c>
      <c r="F79" s="25">
        <v>1</v>
      </c>
      <c r="G79" s="6">
        <f t="shared" si="2"/>
        <v>84</v>
      </c>
      <c r="H79" s="16" t="s">
        <v>124</v>
      </c>
      <c r="I79" s="6">
        <f t="shared" si="3"/>
        <v>84</v>
      </c>
      <c r="J79" s="6"/>
    </row>
    <row r="80" spans="1:10" s="2" customFormat="1" ht="16.5" customHeight="1" x14ac:dyDescent="0.25">
      <c r="A80" s="6">
        <v>36</v>
      </c>
      <c r="B80" s="6" t="s">
        <v>144</v>
      </c>
      <c r="C80" s="7">
        <v>6</v>
      </c>
      <c r="D80" s="13" t="s">
        <v>147</v>
      </c>
      <c r="E80" s="6">
        <v>10</v>
      </c>
      <c r="F80" s="25">
        <v>3</v>
      </c>
      <c r="G80" s="6">
        <f t="shared" si="2"/>
        <v>85</v>
      </c>
      <c r="H80" s="16" t="s">
        <v>124</v>
      </c>
      <c r="I80" s="6">
        <f t="shared" si="3"/>
        <v>87</v>
      </c>
      <c r="J80" s="6"/>
    </row>
    <row r="81" spans="1:10" s="2" customFormat="1" ht="16.5" customHeight="1" x14ac:dyDescent="0.25">
      <c r="A81" s="6">
        <v>37</v>
      </c>
      <c r="B81" s="6" t="s">
        <v>141</v>
      </c>
      <c r="C81" s="7">
        <v>6</v>
      </c>
      <c r="D81" s="13" t="s">
        <v>147</v>
      </c>
      <c r="E81" s="6">
        <v>11</v>
      </c>
      <c r="F81" s="25">
        <v>1</v>
      </c>
      <c r="G81" s="6">
        <f t="shared" si="2"/>
        <v>88</v>
      </c>
      <c r="H81" s="16" t="s">
        <v>124</v>
      </c>
      <c r="I81" s="6">
        <f t="shared" si="3"/>
        <v>88</v>
      </c>
      <c r="J81" s="6"/>
    </row>
    <row r="82" spans="1:10" s="2" customFormat="1" ht="16.5" customHeight="1" x14ac:dyDescent="0.25">
      <c r="A82" s="6">
        <v>38</v>
      </c>
      <c r="B82" s="6" t="s">
        <v>142</v>
      </c>
      <c r="C82" s="7">
        <v>6</v>
      </c>
      <c r="D82" s="13" t="s">
        <v>147</v>
      </c>
      <c r="E82" s="6">
        <v>12</v>
      </c>
      <c r="F82" s="25">
        <v>2</v>
      </c>
      <c r="G82" s="6">
        <f t="shared" si="2"/>
        <v>89</v>
      </c>
      <c r="H82" s="16" t="s">
        <v>124</v>
      </c>
      <c r="I82" s="6">
        <f t="shared" si="3"/>
        <v>90</v>
      </c>
      <c r="J82" s="6"/>
    </row>
    <row r="83" spans="1:10" s="2" customFormat="1" ht="16.5" customHeight="1" x14ac:dyDescent="0.25">
      <c r="A83" s="6">
        <v>39</v>
      </c>
      <c r="B83" s="6" t="s">
        <v>143</v>
      </c>
      <c r="C83" s="7">
        <v>6</v>
      </c>
      <c r="D83" s="13" t="s">
        <v>147</v>
      </c>
      <c r="E83" s="6">
        <v>13</v>
      </c>
      <c r="F83" s="25">
        <v>1</v>
      </c>
      <c r="G83" s="6">
        <f t="shared" si="2"/>
        <v>91</v>
      </c>
      <c r="H83" s="16" t="s">
        <v>124</v>
      </c>
      <c r="I83" s="6">
        <f t="shared" si="3"/>
        <v>91</v>
      </c>
      <c r="J83" s="6"/>
    </row>
    <row r="84" spans="1:10" s="2" customFormat="1" ht="16.5" customHeight="1" x14ac:dyDescent="0.25">
      <c r="A84" s="6">
        <v>40</v>
      </c>
      <c r="B84" s="25" t="s">
        <v>80</v>
      </c>
      <c r="C84" s="6"/>
      <c r="D84" s="6"/>
      <c r="E84" s="6"/>
      <c r="F84" s="25">
        <v>3</v>
      </c>
      <c r="G84" s="6">
        <f t="shared" si="2"/>
        <v>92</v>
      </c>
      <c r="H84" s="16" t="s">
        <v>124</v>
      </c>
      <c r="I84" s="6">
        <f t="shared" si="3"/>
        <v>94</v>
      </c>
      <c r="J84" s="6"/>
    </row>
    <row r="85" spans="1:10" s="2" customFormat="1" ht="16.5" customHeight="1" x14ac:dyDescent="0.25">
      <c r="A85" s="6">
        <v>41</v>
      </c>
      <c r="B85" s="25" t="s">
        <v>81</v>
      </c>
      <c r="C85" s="6"/>
      <c r="D85" s="6"/>
      <c r="E85" s="6"/>
      <c r="F85" s="25">
        <v>10</v>
      </c>
      <c r="G85" s="6">
        <f t="shared" si="2"/>
        <v>95</v>
      </c>
      <c r="H85" s="16" t="s">
        <v>124</v>
      </c>
      <c r="I85" s="6">
        <f t="shared" si="3"/>
        <v>104</v>
      </c>
      <c r="J85" s="6"/>
    </row>
  </sheetData>
  <mergeCells count="7">
    <mergeCell ref="A42:J42"/>
    <mergeCell ref="A43:J43"/>
    <mergeCell ref="G44:I44"/>
    <mergeCell ref="C45:D45"/>
    <mergeCell ref="A1:J1"/>
    <mergeCell ref="A2:J2"/>
    <mergeCell ref="G3:I3"/>
  </mergeCells>
  <pageMargins left="0.25" right="0.25" top="0.75" bottom="0.75" header="0.3" footer="0.3"/>
  <pageSetup paperSize="9" scale="8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9"/>
  <sheetViews>
    <sheetView workbookViewId="0">
      <pane ySplit="2" topLeftCell="A3" activePane="bottomLeft" state="frozen"/>
      <selection pane="bottomLeft" activeCell="D27" sqref="D27"/>
    </sheetView>
  </sheetViews>
  <sheetFormatPr defaultColWidth="32.7109375" defaultRowHeight="15.75" x14ac:dyDescent="0.25"/>
  <cols>
    <col min="1" max="1" width="11.5703125" style="1" bestFit="1" customWidth="1"/>
    <col min="2" max="16384" width="32.7109375" style="1"/>
  </cols>
  <sheetData>
    <row r="1" spans="1:2" ht="36" customHeight="1" x14ac:dyDescent="0.25">
      <c r="A1" s="33" t="s">
        <v>151</v>
      </c>
      <c r="B1" s="33"/>
    </row>
    <row r="2" spans="1:2" x14ac:dyDescent="0.25">
      <c r="A2" s="9" t="s">
        <v>13</v>
      </c>
      <c r="B2" s="10" t="s">
        <v>14</v>
      </c>
    </row>
    <row r="3" spans="1:2" ht="15" customHeight="1" x14ac:dyDescent="0.25">
      <c r="A3" s="11" t="s">
        <v>15</v>
      </c>
      <c r="B3" s="2" t="s">
        <v>16</v>
      </c>
    </row>
    <row r="4" spans="1:2" x14ac:dyDescent="0.25">
      <c r="A4" s="11" t="s">
        <v>17</v>
      </c>
      <c r="B4" s="2" t="s">
        <v>18</v>
      </c>
    </row>
    <row r="5" spans="1:2" x14ac:dyDescent="0.25">
      <c r="A5" s="11" t="s">
        <v>19</v>
      </c>
      <c r="B5" s="2" t="s">
        <v>20</v>
      </c>
    </row>
    <row r="6" spans="1:2" x14ac:dyDescent="0.25">
      <c r="A6" s="11" t="s">
        <v>21</v>
      </c>
      <c r="B6" s="2" t="s">
        <v>22</v>
      </c>
    </row>
    <row r="7" spans="1:2" x14ac:dyDescent="0.25">
      <c r="A7" s="11" t="s">
        <v>23</v>
      </c>
      <c r="B7" s="2" t="s">
        <v>82</v>
      </c>
    </row>
    <row r="8" spans="1:2" x14ac:dyDescent="0.25">
      <c r="A8" s="11" t="s">
        <v>24</v>
      </c>
      <c r="B8" s="2" t="s">
        <v>25</v>
      </c>
    </row>
    <row r="9" spans="1:2" x14ac:dyDescent="0.25">
      <c r="A9" s="11" t="s">
        <v>26</v>
      </c>
      <c r="B9" s="2" t="s">
        <v>27</v>
      </c>
    </row>
    <row r="10" spans="1:2" x14ac:dyDescent="0.25">
      <c r="A10" s="11" t="s">
        <v>28</v>
      </c>
      <c r="B10" s="2" t="s">
        <v>29</v>
      </c>
    </row>
    <row r="11" spans="1:2" x14ac:dyDescent="0.25">
      <c r="A11" s="11" t="s">
        <v>30</v>
      </c>
      <c r="B11" s="2" t="s">
        <v>31</v>
      </c>
    </row>
    <row r="12" spans="1:2" x14ac:dyDescent="0.25">
      <c r="A12" s="11" t="s">
        <v>32</v>
      </c>
      <c r="B12" s="2" t="s">
        <v>33</v>
      </c>
    </row>
    <row r="13" spans="1:2" x14ac:dyDescent="0.25">
      <c r="A13" s="11" t="s">
        <v>34</v>
      </c>
      <c r="B13" s="2" t="s">
        <v>35</v>
      </c>
    </row>
    <row r="14" spans="1:2" x14ac:dyDescent="0.25">
      <c r="A14" s="11" t="s">
        <v>36</v>
      </c>
      <c r="B14" s="2" t="s">
        <v>37</v>
      </c>
    </row>
    <row r="15" spans="1:2" x14ac:dyDescent="0.25">
      <c r="A15" s="11" t="s">
        <v>38</v>
      </c>
      <c r="B15" s="2" t="s">
        <v>39</v>
      </c>
    </row>
    <row r="16" spans="1:2" x14ac:dyDescent="0.25">
      <c r="A16" s="11" t="s">
        <v>40</v>
      </c>
      <c r="B16" s="2" t="s">
        <v>41</v>
      </c>
    </row>
    <row r="17" spans="1:2" x14ac:dyDescent="0.25">
      <c r="A17" s="11" t="s">
        <v>42</v>
      </c>
      <c r="B17" s="2" t="s">
        <v>43</v>
      </c>
    </row>
    <row r="18" spans="1:2" x14ac:dyDescent="0.25">
      <c r="A18" s="11" t="s">
        <v>44</v>
      </c>
      <c r="B18" s="2" t="s">
        <v>45</v>
      </c>
    </row>
    <row r="19" spans="1:2" x14ac:dyDescent="0.25">
      <c r="A19" s="11" t="s">
        <v>46</v>
      </c>
      <c r="B19" s="2" t="s">
        <v>47</v>
      </c>
    </row>
    <row r="20" spans="1:2" x14ac:dyDescent="0.25">
      <c r="A20" s="11" t="s">
        <v>48</v>
      </c>
      <c r="B20" s="2" t="s">
        <v>49</v>
      </c>
    </row>
    <row r="21" spans="1:2" x14ac:dyDescent="0.25">
      <c r="A21" s="11" t="s">
        <v>50</v>
      </c>
      <c r="B21" s="2" t="s">
        <v>51</v>
      </c>
    </row>
    <row r="22" spans="1:2" x14ac:dyDescent="0.25">
      <c r="A22" s="11" t="s">
        <v>52</v>
      </c>
      <c r="B22" s="2" t="s">
        <v>53</v>
      </c>
    </row>
    <row r="23" spans="1:2" x14ac:dyDescent="0.25">
      <c r="A23" s="11" t="s">
        <v>54</v>
      </c>
      <c r="B23" s="2" t="s">
        <v>55</v>
      </c>
    </row>
    <row r="24" spans="1:2" x14ac:dyDescent="0.25">
      <c r="A24" s="11" t="s">
        <v>56</v>
      </c>
      <c r="B24" s="2" t="s">
        <v>57</v>
      </c>
    </row>
    <row r="25" spans="1:2" x14ac:dyDescent="0.25">
      <c r="A25" s="11" t="s">
        <v>58</v>
      </c>
      <c r="B25" s="2" t="s">
        <v>59</v>
      </c>
    </row>
    <row r="26" spans="1:2" x14ac:dyDescent="0.25">
      <c r="A26" s="11" t="s">
        <v>60</v>
      </c>
      <c r="B26" s="2" t="s">
        <v>61</v>
      </c>
    </row>
    <row r="27" spans="1:2" x14ac:dyDescent="0.25">
      <c r="A27" s="11" t="s">
        <v>62</v>
      </c>
      <c r="B27" s="2" t="s">
        <v>83</v>
      </c>
    </row>
    <row r="28" spans="1:2" x14ac:dyDescent="0.25">
      <c r="A28" s="11" t="s">
        <v>63</v>
      </c>
      <c r="B28" s="2" t="s">
        <v>64</v>
      </c>
    </row>
    <row r="29" spans="1:2" x14ac:dyDescent="0.25">
      <c r="A29" s="11" t="s">
        <v>65</v>
      </c>
      <c r="B29" s="2" t="s">
        <v>66</v>
      </c>
    </row>
    <row r="30" spans="1:2" x14ac:dyDescent="0.25">
      <c r="A30" s="11" t="s">
        <v>67</v>
      </c>
      <c r="B30" s="2" t="s">
        <v>68</v>
      </c>
    </row>
    <row r="31" spans="1:2" x14ac:dyDescent="0.25">
      <c r="A31" s="11" t="s">
        <v>69</v>
      </c>
      <c r="B31" s="2" t="s">
        <v>70</v>
      </c>
    </row>
    <row r="32" spans="1:2" x14ac:dyDescent="0.25">
      <c r="A32" s="11" t="s">
        <v>71</v>
      </c>
      <c r="B32" s="2" t="s">
        <v>72</v>
      </c>
    </row>
    <row r="33" spans="1:2" x14ac:dyDescent="0.25">
      <c r="A33" s="11" t="s">
        <v>73</v>
      </c>
      <c r="B33" s="2" t="s">
        <v>74</v>
      </c>
    </row>
    <row r="34" spans="1:2" x14ac:dyDescent="0.25">
      <c r="A34" s="11" t="s">
        <v>75</v>
      </c>
      <c r="B34" s="2" t="s">
        <v>84</v>
      </c>
    </row>
    <row r="35" spans="1:2" x14ac:dyDescent="0.25">
      <c r="A35" s="11" t="s">
        <v>76</v>
      </c>
      <c r="B35" s="2" t="s">
        <v>85</v>
      </c>
    </row>
    <row r="36" spans="1:2" x14ac:dyDescent="0.25">
      <c r="A36" s="11" t="s">
        <v>77</v>
      </c>
      <c r="B36" s="2" t="s">
        <v>86</v>
      </c>
    </row>
    <row r="37" spans="1:2" x14ac:dyDescent="0.25">
      <c r="A37" s="11" t="s">
        <v>78</v>
      </c>
      <c r="B37" s="2" t="s">
        <v>79</v>
      </c>
    </row>
    <row r="38" spans="1:2" ht="18.600000000000001" customHeight="1" x14ac:dyDescent="0.25">
      <c r="A38" s="11" t="s">
        <v>87</v>
      </c>
      <c r="B38" s="2" t="s">
        <v>88</v>
      </c>
    </row>
    <row r="39" spans="1:2" x14ac:dyDescent="0.25">
      <c r="A39" s="8"/>
      <c r="B39" s="8"/>
    </row>
  </sheetData>
  <mergeCells count="1">
    <mergeCell ref="A1:B1"/>
  </mergeCells>
  <pageMargins left="0.70866141732283461" right="0.70866141732283461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Layout TUS</vt:lpstr>
      <vt:lpstr>State 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Soumendra</dc:creator>
  <cp:lastModifiedBy>uttam majee</cp:lastModifiedBy>
  <cp:lastPrinted>2019-02-26T09:18:14Z</cp:lastPrinted>
  <dcterms:created xsi:type="dcterms:W3CDTF">2019-02-26T05:25:44Z</dcterms:created>
  <dcterms:modified xsi:type="dcterms:W3CDTF">2025-03-28T12:57:30Z</dcterms:modified>
</cp:coreProperties>
</file>